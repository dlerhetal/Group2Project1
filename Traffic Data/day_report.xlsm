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827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7c6b3595a896dc4/Documents/GitHub/Group2Project1/Traffic Data/"/>
    </mc:Choice>
  </mc:AlternateContent>
  <xr:revisionPtr revIDLastSave="0" documentId="13_ncr:40009_{6D982626-31DF-41D9-8084-EF1ED5BA8917}" xr6:coauthVersionLast="47" xr6:coauthVersionMax="47" xr10:uidLastSave="{00000000-0000-0000-0000-000000000000}"/>
  <bookViews>
    <workbookView xWindow="28690" yWindow="700" windowWidth="19420" windowHeight="10300" activeTab="1"/>
  </bookViews>
  <sheets>
    <sheet name="day_count_data" sheetId="1" r:id="rId1"/>
    <sheet name="day_count_report" sheetId="3" r:id="rId2"/>
  </sheets>
  <calcPr calcId="0"/>
</workbook>
</file>

<file path=xl/calcChain.xml><?xml version="1.0" encoding="utf-8"?>
<calcChain xmlns="http://schemas.openxmlformats.org/spreadsheetml/2006/main">
  <c r="P8" i="3" l="1"/>
  <c r="P7" i="3"/>
  <c r="P6" i="3"/>
  <c r="P5" i="3"/>
  <c r="P4" i="3"/>
  <c r="P3" i="3"/>
  <c r="P2" i="3"/>
  <c r="O8" i="3"/>
  <c r="N8" i="3"/>
  <c r="O7" i="3"/>
  <c r="N7" i="3"/>
  <c r="O6" i="3"/>
  <c r="N6" i="3"/>
  <c r="O5" i="3"/>
  <c r="N5" i="3"/>
  <c r="O4" i="3"/>
  <c r="N4" i="3"/>
  <c r="O3" i="3"/>
  <c r="N3" i="3"/>
  <c r="O2" i="3"/>
  <c r="N2" i="3"/>
  <c r="O1" i="3"/>
  <c r="N1" i="3"/>
  <c r="M8" i="3"/>
  <c r="M7" i="3"/>
  <c r="M6" i="3"/>
  <c r="M5" i="3"/>
  <c r="M4" i="3"/>
  <c r="M3" i="3"/>
  <c r="M2" i="3"/>
  <c r="M1" i="3"/>
  <c r="L2" i="3"/>
  <c r="L3" i="3"/>
  <c r="L4" i="3"/>
  <c r="L5" i="3"/>
  <c r="L6" i="3"/>
  <c r="L7" i="3"/>
  <c r="L8" i="3"/>
  <c r="L1" i="3"/>
  <c r="K3" i="3"/>
  <c r="K4" i="3"/>
  <c r="K5" i="3"/>
  <c r="K6" i="3"/>
  <c r="K7" i="3"/>
  <c r="K8" i="3"/>
  <c r="K2" i="3"/>
  <c r="F3" i="3"/>
  <c r="F4" i="3"/>
  <c r="F5" i="3"/>
  <c r="F6" i="3"/>
  <c r="F7" i="3"/>
  <c r="F8" i="3"/>
  <c r="F2" i="3"/>
  <c r="J8" i="3"/>
  <c r="I8" i="3"/>
  <c r="H8" i="3"/>
  <c r="J7" i="3"/>
  <c r="I7" i="3"/>
  <c r="H7" i="3"/>
  <c r="J6" i="3"/>
  <c r="I6" i="3"/>
  <c r="H6" i="3"/>
  <c r="J5" i="3"/>
  <c r="I5" i="3"/>
  <c r="H5" i="3"/>
  <c r="J4" i="3"/>
  <c r="I4" i="3"/>
  <c r="H4" i="3"/>
  <c r="J3" i="3"/>
  <c r="I3" i="3"/>
  <c r="H3" i="3"/>
  <c r="J2" i="3"/>
  <c r="I2" i="3"/>
  <c r="H2" i="3"/>
  <c r="J1" i="3"/>
  <c r="I1" i="3"/>
  <c r="H1" i="3"/>
  <c r="G8" i="3"/>
  <c r="G7" i="3"/>
  <c r="G6" i="3"/>
  <c r="G5" i="3"/>
  <c r="G4" i="3"/>
  <c r="G3" i="3"/>
  <c r="G2" i="3"/>
  <c r="G1" i="3"/>
  <c r="C2" i="3"/>
  <c r="D2" i="3"/>
  <c r="E2" i="3"/>
  <c r="C3" i="3"/>
  <c r="D3" i="3"/>
  <c r="E3" i="3"/>
  <c r="C4" i="3"/>
  <c r="D4" i="3"/>
  <c r="E4" i="3"/>
  <c r="C5" i="3"/>
  <c r="D5" i="3"/>
  <c r="E5" i="3"/>
  <c r="C6" i="3"/>
  <c r="D6" i="3"/>
  <c r="E6" i="3"/>
  <c r="C7" i="3"/>
  <c r="D7" i="3"/>
  <c r="E7" i="3"/>
  <c r="C8" i="3"/>
  <c r="D8" i="3"/>
  <c r="E8" i="3"/>
  <c r="E1" i="3"/>
  <c r="D1" i="3"/>
  <c r="C1" i="3"/>
  <c r="B2" i="3"/>
  <c r="B3" i="3"/>
  <c r="B4" i="3"/>
  <c r="B5" i="3"/>
  <c r="B6" i="3"/>
  <c r="B7" i="3"/>
  <c r="B8" i="3"/>
  <c r="B1" i="3"/>
</calcChain>
</file>

<file path=xl/sharedStrings.xml><?xml version="1.0" encoding="utf-8"?>
<sst xmlns="http://schemas.openxmlformats.org/spreadsheetml/2006/main" count="45" uniqueCount="45">
  <si>
    <t>day_of_week</t>
  </si>
  <si>
    <t>Unnamed: 0</t>
  </si>
  <si>
    <t>record_type</t>
  </si>
  <si>
    <t>state_code</t>
  </si>
  <si>
    <t>travel_dir</t>
  </si>
  <si>
    <t>travel_lane</t>
  </si>
  <si>
    <t>year_record</t>
  </si>
  <si>
    <t>month_record</t>
  </si>
  <si>
    <t>day_record</t>
  </si>
  <si>
    <t>hour_00</t>
  </si>
  <si>
    <t>hour_01</t>
  </si>
  <si>
    <t>hour_02</t>
  </si>
  <si>
    <t>hour_03</t>
  </si>
  <si>
    <t>hour_04</t>
  </si>
  <si>
    <t>hour_05</t>
  </si>
  <si>
    <t>hour_06</t>
  </si>
  <si>
    <t>hour_07</t>
  </si>
  <si>
    <t>hour_08</t>
  </si>
  <si>
    <t>hour_09</t>
  </si>
  <si>
    <t>hour_10</t>
  </si>
  <si>
    <t>hour_11</t>
  </si>
  <si>
    <t>hour_12</t>
  </si>
  <si>
    <t>hour_13</t>
  </si>
  <si>
    <t>hour_14</t>
  </si>
  <si>
    <t>hour_15</t>
  </si>
  <si>
    <t>hour_16</t>
  </si>
  <si>
    <t>hour_17</t>
  </si>
  <si>
    <t>hour_18</t>
  </si>
  <si>
    <t>hour_19</t>
  </si>
  <si>
    <t>hour_20</t>
  </si>
  <si>
    <t>hour_21</t>
  </si>
  <si>
    <t>hour_22</t>
  </si>
  <si>
    <t>hour_23</t>
  </si>
  <si>
    <t>restrictions</t>
  </si>
  <si>
    <t>Morning</t>
  </si>
  <si>
    <t>Afternoon</t>
  </si>
  <si>
    <t>Evening</t>
  </si>
  <si>
    <t>Day</t>
  </si>
  <si>
    <t>Sunday</t>
  </si>
  <si>
    <t>Monday</t>
  </si>
  <si>
    <t>Tuesday</t>
  </si>
  <si>
    <t>Wednesday</t>
  </si>
  <si>
    <t>Thursday</t>
  </si>
  <si>
    <t>Friday</t>
  </si>
  <si>
    <t>Saturday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</si>
</sst>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Rush Hour Segments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day_count_report!$F$1:$P$1</c:f>
              <c:strCache>
                <c:ptCount val="3"/>
                <c:pt idx="0">
                  <c:v>Morning</c:v>
                </c:pt>
                <c:pt idx="1">
                  <c:v>Afternoon</c:v>
                </c:pt>
                <c:pt idx="2">
                  <c:v>Evening</c:v>
                </c:pt>
              </c:strCache>
            </c:strRef>
          </c:cat>
          <c:val>
            <c:numRef>
              <c:f>day_count_report!$F$2:$P$2</c:f>
              <c:numCache>
                <c:formatCode>General</c:formatCode>
                <c:ptCount val="3"/>
                <c:pt idx="0">
                  <c:v>46516184</c:v>
                </c:pt>
                <c:pt idx="1">
                  <c:v>90488907</c:v>
                </c:pt>
                <c:pt idx="2">
                  <c:v>84510985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1D-4D7C-9BA5-6E3537430F93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day_count_report!$F$1:$P$1</c:f>
              <c:strCache>
                <c:ptCount val="3"/>
                <c:pt idx="0">
                  <c:v>Morning</c:v>
                </c:pt>
                <c:pt idx="1">
                  <c:v>Afternoon</c:v>
                </c:pt>
                <c:pt idx="2">
                  <c:v>Evening</c:v>
                </c:pt>
              </c:strCache>
            </c:strRef>
          </c:cat>
          <c:val>
            <c:numRef>
              <c:f>day_count_report!$F$3:$P$3</c:f>
              <c:numCache>
                <c:formatCode>General</c:formatCode>
                <c:ptCount val="3"/>
                <c:pt idx="0">
                  <c:v>84865232</c:v>
                </c:pt>
                <c:pt idx="1">
                  <c:v>91803089</c:v>
                </c:pt>
                <c:pt idx="2">
                  <c:v>99995861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1D-4D7C-9BA5-6E3537430F93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day_count_report!$F$1:$P$1</c:f>
              <c:strCache>
                <c:ptCount val="3"/>
                <c:pt idx="0">
                  <c:v>Morning</c:v>
                </c:pt>
                <c:pt idx="1">
                  <c:v>Afternoon</c:v>
                </c:pt>
                <c:pt idx="2">
                  <c:v>Evening</c:v>
                </c:pt>
              </c:strCache>
            </c:strRef>
          </c:cat>
          <c:val>
            <c:numRef>
              <c:f>day_count_report!$F$4:$P$4</c:f>
              <c:numCache>
                <c:formatCode>General</c:formatCode>
                <c:ptCount val="3"/>
                <c:pt idx="0">
                  <c:v>90028178</c:v>
                </c:pt>
                <c:pt idx="1">
                  <c:v>91284903</c:v>
                </c:pt>
                <c:pt idx="2">
                  <c:v>101864372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1D-4D7C-9BA5-6E3537430F93}"/>
            </c:ext>
          </c:extLst>
        </c:ser>
        <c:ser>
          <c:idx val="3"/>
          <c:order val="3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day_count_report!$F$1:$P$1</c:f>
              <c:strCache>
                <c:ptCount val="3"/>
                <c:pt idx="0">
                  <c:v>Morning</c:v>
                </c:pt>
                <c:pt idx="1">
                  <c:v>Afternoon</c:v>
                </c:pt>
                <c:pt idx="2">
                  <c:v>Evening</c:v>
                </c:pt>
              </c:strCache>
            </c:strRef>
          </c:cat>
          <c:val>
            <c:numRef>
              <c:f>day_count_report!$F$5:$P$5</c:f>
              <c:numCache>
                <c:formatCode>General</c:formatCode>
                <c:ptCount val="3"/>
                <c:pt idx="0">
                  <c:v>91364389</c:v>
                </c:pt>
                <c:pt idx="1">
                  <c:v>94656759</c:v>
                </c:pt>
                <c:pt idx="2">
                  <c:v>105230307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1D-4D7C-9BA5-6E3537430F93}"/>
            </c:ext>
          </c:extLst>
        </c:ser>
        <c:ser>
          <c:idx val="4"/>
          <c:order val="4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day_count_report!$F$1:$P$1</c:f>
              <c:strCache>
                <c:ptCount val="3"/>
                <c:pt idx="0">
                  <c:v>Morning</c:v>
                </c:pt>
                <c:pt idx="1">
                  <c:v>Afternoon</c:v>
                </c:pt>
                <c:pt idx="2">
                  <c:v>Evening</c:v>
                </c:pt>
              </c:strCache>
            </c:strRef>
          </c:cat>
          <c:val>
            <c:numRef>
              <c:f>day_count_report!$F$6:$P$6</c:f>
              <c:numCache>
                <c:formatCode>General</c:formatCode>
                <c:ptCount val="3"/>
                <c:pt idx="0">
                  <c:v>91484252</c:v>
                </c:pt>
                <c:pt idx="1">
                  <c:v>97738461</c:v>
                </c:pt>
                <c:pt idx="2">
                  <c:v>106587305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1D-4D7C-9BA5-6E3537430F93}"/>
            </c:ext>
          </c:extLst>
        </c:ser>
        <c:ser>
          <c:idx val="5"/>
          <c:order val="5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day_count_report!$F$1:$P$1</c:f>
              <c:strCache>
                <c:ptCount val="3"/>
                <c:pt idx="0">
                  <c:v>Morning</c:v>
                </c:pt>
                <c:pt idx="1">
                  <c:v>Afternoon</c:v>
                </c:pt>
                <c:pt idx="2">
                  <c:v>Evening</c:v>
                </c:pt>
              </c:strCache>
            </c:strRef>
          </c:cat>
          <c:val>
            <c:numRef>
              <c:f>day_count_report!$F$7:$P$7</c:f>
              <c:numCache>
                <c:formatCode>General</c:formatCode>
                <c:ptCount val="3"/>
                <c:pt idx="0">
                  <c:v>89955859</c:v>
                </c:pt>
                <c:pt idx="1">
                  <c:v>107217452</c:v>
                </c:pt>
                <c:pt idx="2">
                  <c:v>113456900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81D-4D7C-9BA5-6E3537430F93}"/>
            </c:ext>
          </c:extLst>
        </c:ser>
        <c:ser>
          <c:idx val="6"/>
          <c:order val="6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day_count_report!$F$1:$P$1</c:f>
              <c:strCache>
                <c:ptCount val="3"/>
                <c:pt idx="0">
                  <c:v>Morning</c:v>
                </c:pt>
                <c:pt idx="1">
                  <c:v>Afternoon</c:v>
                </c:pt>
                <c:pt idx="2">
                  <c:v>Evening</c:v>
                </c:pt>
              </c:strCache>
            </c:strRef>
          </c:cat>
          <c:val>
            <c:numRef>
              <c:f>day_count_report!$F$8:$P$8</c:f>
              <c:numCache>
                <c:formatCode>General</c:formatCode>
                <c:ptCount val="3"/>
                <c:pt idx="0">
                  <c:v>62360615</c:v>
                </c:pt>
                <c:pt idx="1">
                  <c:v>96368824</c:v>
                </c:pt>
                <c:pt idx="2">
                  <c:v>90478110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1D-4D7C-9BA5-6E3537430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Morning Rush Hour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day_count_report!$B$1</c:f>
              <c:strCache>
                <c:ptCount val="1"/>
                <c:pt idx="0">
                  <c:v>hour_06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day_count_report!$A$2:$A$8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day_count_report!$B$2:$B$8</c:f>
            </c:numRef>
          </c:val>
          <c:extLst>
            <c:ext xmlns:c16="http://schemas.microsoft.com/office/drawing/2014/chart" uri="{C3380CC4-5D6E-409C-BE32-E72D297353CC}">
              <c16:uniqueId val="{00000000-6F2C-448F-907A-39DEFBE82740}"/>
            </c:ext>
          </c:extLst>
        </c:ser>
        <c:ser>
          <c:idx val="1"/>
          <c:order val="1"/>
          <c:tx>
            <c:strRef>
              <c:f>day_count_report!$C$1</c:f>
              <c:strCache>
                <c:ptCount val="1"/>
                <c:pt idx="0">
                  <c:v>hour_07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day_count_report!$A$2:$A$8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day_count_report!$C$2:$C$8</c:f>
            </c:numRef>
          </c:val>
          <c:extLst>
            <c:ext xmlns:c16="http://schemas.microsoft.com/office/drawing/2014/chart" uri="{C3380CC4-5D6E-409C-BE32-E72D297353CC}">
              <c16:uniqueId val="{00000001-6F2C-448F-907A-39DEFBE82740}"/>
            </c:ext>
          </c:extLst>
        </c:ser>
        <c:ser>
          <c:idx val="2"/>
          <c:order val="2"/>
          <c:tx>
            <c:strRef>
              <c:f>day_count_report!$D$1</c:f>
              <c:strCache>
                <c:ptCount val="1"/>
                <c:pt idx="0">
                  <c:v>hour_08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day_count_report!$A$2:$A$8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day_count_report!$D$2:$D$8</c:f>
            </c:numRef>
          </c:val>
          <c:extLst>
            <c:ext xmlns:c16="http://schemas.microsoft.com/office/drawing/2014/chart" uri="{C3380CC4-5D6E-409C-BE32-E72D297353CC}">
              <c16:uniqueId val="{00000002-6F2C-448F-907A-39DEFBE82740}"/>
            </c:ext>
          </c:extLst>
        </c:ser>
        <c:ser>
          <c:idx val="3"/>
          <c:order val="3"/>
          <c:tx>
            <c:strRef>
              <c:f>day_count_report!$E$1</c:f>
              <c:strCache>
                <c:ptCount val="1"/>
                <c:pt idx="0">
                  <c:v>hour_09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day_count_report!$A$2:$A$8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day_count_report!$E$2:$E$8</c:f>
            </c:numRef>
          </c:val>
          <c:extLst>
            <c:ext xmlns:c16="http://schemas.microsoft.com/office/drawing/2014/chart" uri="{C3380CC4-5D6E-409C-BE32-E72D297353CC}">
              <c16:uniqueId val="{00000003-6F2C-448F-907A-39DEFBE82740}"/>
            </c:ext>
          </c:extLst>
        </c:ser>
        <c:ser>
          <c:idx val="4"/>
          <c:order val="4"/>
          <c:tx>
            <c:strRef>
              <c:f>day_count_report!$F$1</c:f>
              <c:strCache>
                <c:ptCount val="1"/>
                <c:pt idx="0">
                  <c:v>Morning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day_count_report!$A$2:$A$8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day_count_report!$F$2:$F$8</c:f>
              <c:numCache>
                <c:formatCode>General</c:formatCode>
                <c:ptCount val="7"/>
                <c:pt idx="0">
                  <c:v>46516184</c:v>
                </c:pt>
                <c:pt idx="1">
                  <c:v>84865232</c:v>
                </c:pt>
                <c:pt idx="2">
                  <c:v>90028178</c:v>
                </c:pt>
                <c:pt idx="3">
                  <c:v>91364389</c:v>
                </c:pt>
                <c:pt idx="4">
                  <c:v>91484252</c:v>
                </c:pt>
                <c:pt idx="5">
                  <c:v>89955859</c:v>
                </c:pt>
                <c:pt idx="6">
                  <c:v>62360615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2C-448F-907A-39DEFBE82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91350512"/>
        <c:axId val="591351232"/>
        <c:axId val="0"/>
      </c:bar3DChart>
      <c:catAx>
        <c:axId val="591350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51232"/>
        <c:crosses val="autoZero"/>
        <c:auto val="1"/>
        <c:lblAlgn val="ctr"/>
        <c:lblOffset val="100"/>
        <c:noMultiLvlLbl val="0"/>
      </c:catAx>
      <c:valAx>
        <c:axId val="59135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5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Afternoon Rush Hour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day_count_report!$K$1</c:f>
              <c:strCache>
                <c:ptCount val="1"/>
                <c:pt idx="0">
                  <c:v>Afternoon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day_count_report!$A$2:$A$8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day_count_report!$K$2:$K$8</c:f>
              <c:numCache>
                <c:formatCode>General</c:formatCode>
                <c:ptCount val="7"/>
                <c:pt idx="0">
                  <c:v>90488907</c:v>
                </c:pt>
                <c:pt idx="1">
                  <c:v>91803089</c:v>
                </c:pt>
                <c:pt idx="2">
                  <c:v>91284903</c:v>
                </c:pt>
                <c:pt idx="3">
                  <c:v>94656759</c:v>
                </c:pt>
                <c:pt idx="4">
                  <c:v>97738461</c:v>
                </c:pt>
                <c:pt idx="5">
                  <c:v>107217452</c:v>
                </c:pt>
                <c:pt idx="6">
                  <c:v>96368824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0D-47C9-8E0B-3246DC78B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10983</xdr:colOff>
      <xdr:row>13</xdr:row>
      <xdr:rowOff>96723</xdr:rowOff>
    </xdr:from>
    <xdr:to>
      <xdr:col>20</xdr:col>
      <xdr:colOff>635000</xdr:colOff>
      <xdr:row>24</xdr:row>
      <xdr:rowOff>163378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7738C0F-5C3A-4617-B389-CE3D850BA8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20614</xdr:colOff>
      <xdr:row>8</xdr:row>
      <xdr:rowOff>12615</xdr:rowOff>
    </xdr:from>
    <xdr:to>
      <xdr:col>16</xdr:col>
      <xdr:colOff>0</xdr:colOff>
      <xdr:row>24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2F01675-D1C2-6585-F501-B56E5E9A4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18984</xdr:colOff>
      <xdr:row>0</xdr:row>
      <xdr:rowOff>7876</xdr:rowOff>
    </xdr:from>
    <xdr:to>
      <xdr:col>20</xdr:col>
      <xdr:colOff>647699</xdr:colOff>
      <xdr:row>13</xdr:row>
      <xdr:rowOff>87312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4466C71-B7DB-097E-6283-06E9541792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8"/>
  <sheetViews>
    <sheetView workbookViewId="0">
      <selection sqref="A1:AH8"/>
    </sheetView>
  </sheetViews>
  <sheetFormatPr defaultRowHeight="14.25" x14ac:dyDescent="0.45"/>
  <cols>
    <col min="2" max="2" width="10.73046875" bestFit="1" customWidth="1"/>
  </cols>
  <sheetData>
    <row r="1" spans="1:34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</row>
    <row r="2" spans="1:34" x14ac:dyDescent="0.45">
      <c r="A2">
        <v>1</v>
      </c>
      <c r="B2">
        <v>143681852</v>
      </c>
      <c r="C2">
        <v>141960</v>
      </c>
      <c r="D2">
        <v>2224040</v>
      </c>
      <c r="E2">
        <v>194670</v>
      </c>
      <c r="F2">
        <v>80579</v>
      </c>
      <c r="G2">
        <v>956782</v>
      </c>
      <c r="H2">
        <v>318447</v>
      </c>
      <c r="I2">
        <v>737550</v>
      </c>
      <c r="J2">
        <v>6481363</v>
      </c>
      <c r="K2">
        <v>5162589</v>
      </c>
      <c r="L2">
        <v>4467325</v>
      </c>
      <c r="M2">
        <v>4602088</v>
      </c>
      <c r="N2">
        <v>4636497</v>
      </c>
      <c r="O2">
        <v>6278252</v>
      </c>
      <c r="P2">
        <v>8057271</v>
      </c>
      <c r="Q2">
        <v>9696913</v>
      </c>
      <c r="R2">
        <v>12390008</v>
      </c>
      <c r="S2">
        <v>16371992</v>
      </c>
      <c r="T2">
        <v>19472419</v>
      </c>
      <c r="U2">
        <v>21194070</v>
      </c>
      <c r="V2">
        <v>22912719</v>
      </c>
      <c r="W2">
        <v>23320070</v>
      </c>
      <c r="X2">
        <v>23062048</v>
      </c>
      <c r="Y2">
        <v>22933154</v>
      </c>
      <c r="Z2">
        <v>22289725</v>
      </c>
      <c r="AA2">
        <v>21039946</v>
      </c>
      <c r="AB2">
        <v>18248160</v>
      </c>
      <c r="AC2">
        <v>15696116</v>
      </c>
      <c r="AD2">
        <v>12547577</v>
      </c>
      <c r="AE2">
        <v>10366922</v>
      </c>
      <c r="AF2">
        <v>8328912</v>
      </c>
      <c r="AG2">
        <v>6107920</v>
      </c>
      <c r="AH2">
        <v>0</v>
      </c>
    </row>
    <row r="3" spans="1:34" x14ac:dyDescent="0.45">
      <c r="A3">
        <v>2</v>
      </c>
      <c r="B3">
        <v>144171517</v>
      </c>
      <c r="C3">
        <v>143334</v>
      </c>
      <c r="D3">
        <v>2245566</v>
      </c>
      <c r="E3">
        <v>196100</v>
      </c>
      <c r="F3">
        <v>81286</v>
      </c>
      <c r="G3">
        <v>965366</v>
      </c>
      <c r="H3">
        <v>320366</v>
      </c>
      <c r="I3">
        <v>747158</v>
      </c>
      <c r="J3">
        <v>5023856</v>
      </c>
      <c r="K3">
        <v>4389112</v>
      </c>
      <c r="L3">
        <v>4100075</v>
      </c>
      <c r="M3">
        <v>5019440</v>
      </c>
      <c r="N3">
        <v>7771540</v>
      </c>
      <c r="O3">
        <v>13476370</v>
      </c>
      <c r="P3">
        <v>20517934</v>
      </c>
      <c r="Q3">
        <v>23431818</v>
      </c>
      <c r="R3">
        <v>20871052</v>
      </c>
      <c r="S3">
        <v>20044428</v>
      </c>
      <c r="T3">
        <v>20566869</v>
      </c>
      <c r="U3">
        <v>21595317</v>
      </c>
      <c r="V3">
        <v>22273365</v>
      </c>
      <c r="W3">
        <v>23065652</v>
      </c>
      <c r="X3">
        <v>24868755</v>
      </c>
      <c r="Y3">
        <v>27017354</v>
      </c>
      <c r="Z3">
        <v>27750162</v>
      </c>
      <c r="AA3">
        <v>25341797</v>
      </c>
      <c r="AB3">
        <v>19886548</v>
      </c>
      <c r="AC3">
        <v>15846165</v>
      </c>
      <c r="AD3">
        <v>12818301</v>
      </c>
      <c r="AE3">
        <v>10321291</v>
      </c>
      <c r="AF3">
        <v>8394755</v>
      </c>
      <c r="AG3">
        <v>6696856</v>
      </c>
      <c r="AH3">
        <v>0</v>
      </c>
    </row>
    <row r="4" spans="1:34" x14ac:dyDescent="0.45">
      <c r="A4">
        <v>3</v>
      </c>
      <c r="B4">
        <v>144663638</v>
      </c>
      <c r="C4">
        <v>143751</v>
      </c>
      <c r="D4">
        <v>2252099</v>
      </c>
      <c r="E4">
        <v>196871</v>
      </c>
      <c r="F4">
        <v>81511</v>
      </c>
      <c r="G4">
        <v>968139</v>
      </c>
      <c r="H4">
        <v>321696</v>
      </c>
      <c r="I4">
        <v>750850</v>
      </c>
      <c r="J4">
        <v>5362884</v>
      </c>
      <c r="K4">
        <v>4602737</v>
      </c>
      <c r="L4">
        <v>4433416</v>
      </c>
      <c r="M4">
        <v>5278969</v>
      </c>
      <c r="N4">
        <v>7885510</v>
      </c>
      <c r="O4">
        <v>14345304</v>
      </c>
      <c r="P4">
        <v>22281754</v>
      </c>
      <c r="Q4">
        <v>25148413</v>
      </c>
      <c r="R4">
        <v>22096362</v>
      </c>
      <c r="S4">
        <v>20501649</v>
      </c>
      <c r="T4">
        <v>20528745</v>
      </c>
      <c r="U4">
        <v>21100292</v>
      </c>
      <c r="V4">
        <v>22212230</v>
      </c>
      <c r="W4">
        <v>22903743</v>
      </c>
      <c r="X4">
        <v>25068638</v>
      </c>
      <c r="Y4">
        <v>27514381</v>
      </c>
      <c r="Z4">
        <v>28095067</v>
      </c>
      <c r="AA4">
        <v>25995198</v>
      </c>
      <c r="AB4">
        <v>20259726</v>
      </c>
      <c r="AC4">
        <v>16062192</v>
      </c>
      <c r="AD4">
        <v>13290713</v>
      </c>
      <c r="AE4">
        <v>10848821</v>
      </c>
      <c r="AF4">
        <v>8922375</v>
      </c>
      <c r="AG4">
        <v>6961564</v>
      </c>
      <c r="AH4">
        <v>0</v>
      </c>
    </row>
    <row r="5" spans="1:34" x14ac:dyDescent="0.45">
      <c r="A5">
        <v>4</v>
      </c>
      <c r="B5">
        <v>145781317</v>
      </c>
      <c r="C5">
        <v>144867</v>
      </c>
      <c r="D5">
        <v>2269583</v>
      </c>
      <c r="E5">
        <v>198247</v>
      </c>
      <c r="F5">
        <v>82174</v>
      </c>
      <c r="G5">
        <v>975732</v>
      </c>
      <c r="H5">
        <v>323071</v>
      </c>
      <c r="I5">
        <v>751317</v>
      </c>
      <c r="J5">
        <v>5981844</v>
      </c>
      <c r="K5">
        <v>5359285</v>
      </c>
      <c r="L5">
        <v>5338690</v>
      </c>
      <c r="M5">
        <v>6041402</v>
      </c>
      <c r="N5">
        <v>8759628</v>
      </c>
      <c r="O5">
        <v>15152493</v>
      </c>
      <c r="P5">
        <v>22593622</v>
      </c>
      <c r="Q5">
        <v>25360370</v>
      </c>
      <c r="R5">
        <v>22454492</v>
      </c>
      <c r="S5">
        <v>20955905</v>
      </c>
      <c r="T5">
        <v>21133432</v>
      </c>
      <c r="U5">
        <v>21942862</v>
      </c>
      <c r="V5">
        <v>22800211</v>
      </c>
      <c r="W5">
        <v>23903069</v>
      </c>
      <c r="X5">
        <v>26010617</v>
      </c>
      <c r="Y5">
        <v>28200681</v>
      </c>
      <c r="Z5">
        <v>28697220</v>
      </c>
      <c r="AA5">
        <v>26816540</v>
      </c>
      <c r="AB5">
        <v>21515866</v>
      </c>
      <c r="AC5">
        <v>17001806</v>
      </c>
      <c r="AD5">
        <v>14109329</v>
      </c>
      <c r="AE5">
        <v>11659486</v>
      </c>
      <c r="AF5">
        <v>9245486</v>
      </c>
      <c r="AG5">
        <v>7519963</v>
      </c>
      <c r="AH5">
        <v>0</v>
      </c>
    </row>
    <row r="6" spans="1:34" x14ac:dyDescent="0.45">
      <c r="A6">
        <v>5</v>
      </c>
      <c r="B6">
        <v>147195513</v>
      </c>
      <c r="C6">
        <v>146022</v>
      </c>
      <c r="D6">
        <v>2287678</v>
      </c>
      <c r="E6">
        <v>199954</v>
      </c>
      <c r="F6">
        <v>82886</v>
      </c>
      <c r="G6">
        <v>983845</v>
      </c>
      <c r="H6">
        <v>326549</v>
      </c>
      <c r="I6">
        <v>761346</v>
      </c>
      <c r="J6">
        <v>5856424</v>
      </c>
      <c r="K6">
        <v>5196900</v>
      </c>
      <c r="L6">
        <v>5103729</v>
      </c>
      <c r="M6">
        <v>5926689</v>
      </c>
      <c r="N6">
        <v>8356909</v>
      </c>
      <c r="O6">
        <v>14586008</v>
      </c>
      <c r="P6">
        <v>22139734</v>
      </c>
      <c r="Q6">
        <v>25089981</v>
      </c>
      <c r="R6">
        <v>22743510</v>
      </c>
      <c r="S6">
        <v>21511027</v>
      </c>
      <c r="T6">
        <v>21832969</v>
      </c>
      <c r="U6">
        <v>22759497</v>
      </c>
      <c r="V6">
        <v>23772086</v>
      </c>
      <c r="W6">
        <v>24669699</v>
      </c>
      <c r="X6">
        <v>26537179</v>
      </c>
      <c r="Y6">
        <v>28642670</v>
      </c>
      <c r="Z6">
        <v>29075693</v>
      </c>
      <c r="AA6">
        <v>27077688</v>
      </c>
      <c r="AB6">
        <v>21791254</v>
      </c>
      <c r="AC6">
        <v>17817855</v>
      </c>
      <c r="AD6">
        <v>14443516</v>
      </c>
      <c r="AE6">
        <v>11766141</v>
      </c>
      <c r="AF6">
        <v>9772336</v>
      </c>
      <c r="AG6">
        <v>7563862</v>
      </c>
      <c r="AH6">
        <v>0</v>
      </c>
    </row>
    <row r="7" spans="1:34" x14ac:dyDescent="0.45">
      <c r="A7">
        <v>6</v>
      </c>
      <c r="B7">
        <v>147461757</v>
      </c>
      <c r="C7">
        <v>146601</v>
      </c>
      <c r="D7">
        <v>2296749</v>
      </c>
      <c r="E7">
        <v>200675</v>
      </c>
      <c r="F7">
        <v>83273</v>
      </c>
      <c r="G7">
        <v>987921</v>
      </c>
      <c r="H7">
        <v>326328</v>
      </c>
      <c r="I7">
        <v>753758</v>
      </c>
      <c r="J7">
        <v>6219457</v>
      </c>
      <c r="K7">
        <v>5417858</v>
      </c>
      <c r="L7">
        <v>5307051</v>
      </c>
      <c r="M7">
        <v>5636153</v>
      </c>
      <c r="N7">
        <v>8026030</v>
      </c>
      <c r="O7">
        <v>13735688</v>
      </c>
      <c r="P7">
        <v>20767565</v>
      </c>
      <c r="Q7">
        <v>24147633</v>
      </c>
      <c r="R7">
        <v>22623393</v>
      </c>
      <c r="S7">
        <v>22417268</v>
      </c>
      <c r="T7">
        <v>23593807</v>
      </c>
      <c r="U7">
        <v>24819211</v>
      </c>
      <c r="V7">
        <v>26061087</v>
      </c>
      <c r="W7">
        <v>27228012</v>
      </c>
      <c r="X7">
        <v>29109142</v>
      </c>
      <c r="Y7">
        <v>30473715</v>
      </c>
      <c r="Z7">
        <v>30375312</v>
      </c>
      <c r="AA7">
        <v>28587916</v>
      </c>
      <c r="AB7">
        <v>24019957</v>
      </c>
      <c r="AC7">
        <v>20265521</v>
      </c>
      <c r="AD7">
        <v>16988720</v>
      </c>
      <c r="AE7">
        <v>14389602</v>
      </c>
      <c r="AF7">
        <v>12017353</v>
      </c>
      <c r="AG7">
        <v>9813958</v>
      </c>
      <c r="AH7">
        <v>0</v>
      </c>
    </row>
    <row r="8" spans="1:34" x14ac:dyDescent="0.45">
      <c r="A8">
        <v>7</v>
      </c>
      <c r="B8">
        <v>146352609</v>
      </c>
      <c r="C8">
        <v>145635</v>
      </c>
      <c r="D8">
        <v>2281615</v>
      </c>
      <c r="E8">
        <v>199453</v>
      </c>
      <c r="F8">
        <v>82620</v>
      </c>
      <c r="G8">
        <v>981589</v>
      </c>
      <c r="H8">
        <v>323578</v>
      </c>
      <c r="I8">
        <v>752331</v>
      </c>
      <c r="J8">
        <v>7674422</v>
      </c>
      <c r="K8">
        <v>6369587</v>
      </c>
      <c r="L8">
        <v>5397193</v>
      </c>
      <c r="M8">
        <v>5468823</v>
      </c>
      <c r="N8">
        <v>6312725</v>
      </c>
      <c r="O8">
        <v>8549025</v>
      </c>
      <c r="P8">
        <v>11795977</v>
      </c>
      <c r="Q8">
        <v>14026856</v>
      </c>
      <c r="R8">
        <v>16656629</v>
      </c>
      <c r="S8">
        <v>19881153</v>
      </c>
      <c r="T8">
        <v>22149457</v>
      </c>
      <c r="U8">
        <v>23455712</v>
      </c>
      <c r="V8">
        <v>24027483</v>
      </c>
      <c r="W8">
        <v>24277997</v>
      </c>
      <c r="X8">
        <v>24607632</v>
      </c>
      <c r="Y8">
        <v>24507851</v>
      </c>
      <c r="Z8">
        <v>23661022</v>
      </c>
      <c r="AA8">
        <v>22163274</v>
      </c>
      <c r="AB8">
        <v>20145963</v>
      </c>
      <c r="AC8">
        <v>17954497</v>
      </c>
      <c r="AD8">
        <v>15410455</v>
      </c>
      <c r="AE8">
        <v>13302787</v>
      </c>
      <c r="AF8">
        <v>11361190</v>
      </c>
      <c r="AG8">
        <v>9346807</v>
      </c>
      <c r="AH8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8"/>
  <sheetViews>
    <sheetView tabSelected="1" workbookViewId="0"/>
  </sheetViews>
  <sheetFormatPr defaultRowHeight="14.25" x14ac:dyDescent="0.45"/>
  <cols>
    <col min="1" max="1" width="10.3984375" bestFit="1" customWidth="1"/>
    <col min="2" max="5" width="0" hidden="1" customWidth="1"/>
    <col min="7" max="10" width="0" hidden="1" customWidth="1"/>
    <col min="11" max="11" width="9.73046875" bestFit="1" customWidth="1"/>
    <col min="12" max="15" width="0" hidden="1" customWidth="1"/>
    <col min="16" max="16" width="9.73046875" bestFit="1" customWidth="1"/>
  </cols>
  <sheetData>
    <row r="1" spans="1:16" x14ac:dyDescent="0.45">
      <c r="A1" t="s">
        <v>37</v>
      </c>
      <c r="B1" t="str">
        <f>day_count_data!P1</f>
        <v>hour_06</v>
      </c>
      <c r="C1" t="str">
        <f>day_count_data!Q1</f>
        <v>hour_07</v>
      </c>
      <c r="D1" t="str">
        <f>day_count_data!R1</f>
        <v>hour_08</v>
      </c>
      <c r="E1" t="str">
        <f>day_count_data!S1</f>
        <v>hour_09</v>
      </c>
      <c r="F1" t="s">
        <v>34</v>
      </c>
      <c r="G1" t="str">
        <f>day_count_data!U1</f>
        <v>hour_11</v>
      </c>
      <c r="H1" t="str">
        <f>day_count_data!V1</f>
        <v>hour_12</v>
      </c>
      <c r="I1" t="str">
        <f>day_count_data!W1</f>
        <v>hour_13</v>
      </c>
      <c r="J1" t="str">
        <f>day_count_data!X1</f>
        <v>hour_14</v>
      </c>
      <c r="K1" t="s">
        <v>35</v>
      </c>
      <c r="L1" t="str">
        <f>day_count_data!Y1</f>
        <v>hour_15</v>
      </c>
      <c r="M1" t="str">
        <f>day_count_data!Z1</f>
        <v>hour_16</v>
      </c>
      <c r="N1" t="str">
        <f>day_count_data!AA1</f>
        <v>hour_17</v>
      </c>
      <c r="O1" t="str">
        <f>day_count_data!AB1</f>
        <v>hour_18</v>
      </c>
      <c r="P1" t="s">
        <v>36</v>
      </c>
    </row>
    <row r="2" spans="1:16" x14ac:dyDescent="0.45">
      <c r="A2" t="s">
        <v>38</v>
      </c>
      <c r="B2">
        <f>day_count_data!P2</f>
        <v>8057271</v>
      </c>
      <c r="C2">
        <f>day_count_data!Q2</f>
        <v>9696913</v>
      </c>
      <c r="D2">
        <f>day_count_data!R2</f>
        <v>12390008</v>
      </c>
      <c r="E2">
        <f>day_count_data!S2</f>
        <v>16371992</v>
      </c>
      <c r="F2">
        <f>SUM(B2:E2)</f>
        <v>46516184</v>
      </c>
      <c r="G2">
        <f>day_count_data!U2</f>
        <v>21194070</v>
      </c>
      <c r="H2">
        <f>day_count_data!V2</f>
        <v>22912719</v>
      </c>
      <c r="I2">
        <f>day_count_data!W2</f>
        <v>23320070</v>
      </c>
      <c r="J2">
        <f>day_count_data!X2</f>
        <v>23062048</v>
      </c>
      <c r="K2">
        <f>SUM(G2:J2)</f>
        <v>90488907</v>
      </c>
      <c r="L2">
        <f>day_count_data!Y2</f>
        <v>22933154</v>
      </c>
      <c r="M2">
        <f>day_count_data!Z2</f>
        <v>22289725</v>
      </c>
      <c r="N2">
        <f>day_count_data!AA2</f>
        <v>21039946</v>
      </c>
      <c r="O2">
        <f>day_count_data!AB2</f>
        <v>18248160</v>
      </c>
      <c r="P2">
        <f>SUM(L2:O2)</f>
        <v>84510985</v>
      </c>
    </row>
    <row r="3" spans="1:16" x14ac:dyDescent="0.45">
      <c r="A3" t="s">
        <v>39</v>
      </c>
      <c r="B3">
        <f>day_count_data!P3</f>
        <v>20517934</v>
      </c>
      <c r="C3">
        <f>day_count_data!Q3</f>
        <v>23431818</v>
      </c>
      <c r="D3">
        <f>day_count_data!R3</f>
        <v>20871052</v>
      </c>
      <c r="E3">
        <f>day_count_data!S3</f>
        <v>20044428</v>
      </c>
      <c r="F3">
        <f t="shared" ref="F3:F8" si="0">SUM(B3:E3)</f>
        <v>84865232</v>
      </c>
      <c r="G3">
        <f>day_count_data!U3</f>
        <v>21595317</v>
      </c>
      <c r="H3">
        <f>day_count_data!V3</f>
        <v>22273365</v>
      </c>
      <c r="I3">
        <f>day_count_data!W3</f>
        <v>23065652</v>
      </c>
      <c r="J3">
        <f>day_count_data!X3</f>
        <v>24868755</v>
      </c>
      <c r="K3">
        <f t="shared" ref="K3:K8" si="1">SUM(G3:J3)</f>
        <v>91803089</v>
      </c>
      <c r="L3">
        <f>day_count_data!Y3</f>
        <v>27017354</v>
      </c>
      <c r="M3">
        <f>day_count_data!Z3</f>
        <v>27750162</v>
      </c>
      <c r="N3">
        <f>day_count_data!AA3</f>
        <v>25341797</v>
      </c>
      <c r="O3">
        <f>day_count_data!AB3</f>
        <v>19886548</v>
      </c>
      <c r="P3">
        <f t="shared" ref="P3:P8" si="2">SUM(L3:O3)</f>
        <v>99995861</v>
      </c>
    </row>
    <row r="4" spans="1:16" x14ac:dyDescent="0.45">
      <c r="A4" t="s">
        <v>40</v>
      </c>
      <c r="B4">
        <f>day_count_data!P4</f>
        <v>22281754</v>
      </c>
      <c r="C4">
        <f>day_count_data!Q4</f>
        <v>25148413</v>
      </c>
      <c r="D4">
        <f>day_count_data!R4</f>
        <v>22096362</v>
      </c>
      <c r="E4">
        <f>day_count_data!S4</f>
        <v>20501649</v>
      </c>
      <c r="F4">
        <f t="shared" si="0"/>
        <v>90028178</v>
      </c>
      <c r="G4">
        <f>day_count_data!U4</f>
        <v>21100292</v>
      </c>
      <c r="H4">
        <f>day_count_data!V4</f>
        <v>22212230</v>
      </c>
      <c r="I4">
        <f>day_count_data!W4</f>
        <v>22903743</v>
      </c>
      <c r="J4">
        <f>day_count_data!X4</f>
        <v>25068638</v>
      </c>
      <c r="K4">
        <f t="shared" si="1"/>
        <v>91284903</v>
      </c>
      <c r="L4">
        <f>day_count_data!Y4</f>
        <v>27514381</v>
      </c>
      <c r="M4">
        <f>day_count_data!Z4</f>
        <v>28095067</v>
      </c>
      <c r="N4">
        <f>day_count_data!AA4</f>
        <v>25995198</v>
      </c>
      <c r="O4">
        <f>day_count_data!AB4</f>
        <v>20259726</v>
      </c>
      <c r="P4">
        <f t="shared" si="2"/>
        <v>101864372</v>
      </c>
    </row>
    <row r="5" spans="1:16" x14ac:dyDescent="0.45">
      <c r="A5" t="s">
        <v>41</v>
      </c>
      <c r="B5">
        <f>day_count_data!P5</f>
        <v>22593622</v>
      </c>
      <c r="C5">
        <f>day_count_data!Q5</f>
        <v>25360370</v>
      </c>
      <c r="D5">
        <f>day_count_data!R5</f>
        <v>22454492</v>
      </c>
      <c r="E5">
        <f>day_count_data!S5</f>
        <v>20955905</v>
      </c>
      <c r="F5">
        <f t="shared" si="0"/>
        <v>91364389</v>
      </c>
      <c r="G5">
        <f>day_count_data!U5</f>
        <v>21942862</v>
      </c>
      <c r="H5">
        <f>day_count_data!V5</f>
        <v>22800211</v>
      </c>
      <c r="I5">
        <f>day_count_data!W5</f>
        <v>23903069</v>
      </c>
      <c r="J5">
        <f>day_count_data!X5</f>
        <v>26010617</v>
      </c>
      <c r="K5">
        <f t="shared" si="1"/>
        <v>94656759</v>
      </c>
      <c r="L5">
        <f>day_count_data!Y5</f>
        <v>28200681</v>
      </c>
      <c r="M5">
        <f>day_count_data!Z5</f>
        <v>28697220</v>
      </c>
      <c r="N5">
        <f>day_count_data!AA5</f>
        <v>26816540</v>
      </c>
      <c r="O5">
        <f>day_count_data!AB5</f>
        <v>21515866</v>
      </c>
      <c r="P5">
        <f t="shared" si="2"/>
        <v>105230307</v>
      </c>
    </row>
    <row r="6" spans="1:16" x14ac:dyDescent="0.45">
      <c r="A6" t="s">
        <v>42</v>
      </c>
      <c r="B6">
        <f>day_count_data!P6</f>
        <v>22139734</v>
      </c>
      <c r="C6">
        <f>day_count_data!Q6</f>
        <v>25089981</v>
      </c>
      <c r="D6">
        <f>day_count_data!R6</f>
        <v>22743510</v>
      </c>
      <c r="E6">
        <f>day_count_data!S6</f>
        <v>21511027</v>
      </c>
      <c r="F6">
        <f t="shared" si="0"/>
        <v>91484252</v>
      </c>
      <c r="G6">
        <f>day_count_data!U6</f>
        <v>22759497</v>
      </c>
      <c r="H6">
        <f>day_count_data!V6</f>
        <v>23772086</v>
      </c>
      <c r="I6">
        <f>day_count_data!W6</f>
        <v>24669699</v>
      </c>
      <c r="J6">
        <f>day_count_data!X6</f>
        <v>26537179</v>
      </c>
      <c r="K6">
        <f t="shared" si="1"/>
        <v>97738461</v>
      </c>
      <c r="L6">
        <f>day_count_data!Y6</f>
        <v>28642670</v>
      </c>
      <c r="M6">
        <f>day_count_data!Z6</f>
        <v>29075693</v>
      </c>
      <c r="N6">
        <f>day_count_data!AA6</f>
        <v>27077688</v>
      </c>
      <c r="O6">
        <f>day_count_data!AB6</f>
        <v>21791254</v>
      </c>
      <c r="P6">
        <f t="shared" si="2"/>
        <v>106587305</v>
      </c>
    </row>
    <row r="7" spans="1:16" x14ac:dyDescent="0.45">
      <c r="A7" t="s">
        <v>43</v>
      </c>
      <c r="B7">
        <f>day_count_data!P7</f>
        <v>20767565</v>
      </c>
      <c r="C7">
        <f>day_count_data!Q7</f>
        <v>24147633</v>
      </c>
      <c r="D7">
        <f>day_count_data!R7</f>
        <v>22623393</v>
      </c>
      <c r="E7">
        <f>day_count_data!S7</f>
        <v>22417268</v>
      </c>
      <c r="F7">
        <f t="shared" si="0"/>
        <v>89955859</v>
      </c>
      <c r="G7">
        <f>day_count_data!U7</f>
        <v>24819211</v>
      </c>
      <c r="H7">
        <f>day_count_data!V7</f>
        <v>26061087</v>
      </c>
      <c r="I7">
        <f>day_count_data!W7</f>
        <v>27228012</v>
      </c>
      <c r="J7">
        <f>day_count_data!X7</f>
        <v>29109142</v>
      </c>
      <c r="K7">
        <f t="shared" si="1"/>
        <v>107217452</v>
      </c>
      <c r="L7">
        <f>day_count_data!Y7</f>
        <v>30473715</v>
      </c>
      <c r="M7">
        <f>day_count_data!Z7</f>
        <v>30375312</v>
      </c>
      <c r="N7">
        <f>day_count_data!AA7</f>
        <v>28587916</v>
      </c>
      <c r="O7">
        <f>day_count_data!AB7</f>
        <v>24019957</v>
      </c>
      <c r="P7">
        <f t="shared" si="2"/>
        <v>113456900</v>
      </c>
    </row>
    <row r="8" spans="1:16" x14ac:dyDescent="0.45">
      <c r="A8" t="s">
        <v>44</v>
      </c>
      <c r="B8">
        <f>day_count_data!P8</f>
        <v>11795977</v>
      </c>
      <c r="C8">
        <f>day_count_data!Q8</f>
        <v>14026856</v>
      </c>
      <c r="D8">
        <f>day_count_data!R8</f>
        <v>16656629</v>
      </c>
      <c r="E8">
        <f>day_count_data!S8</f>
        <v>19881153</v>
      </c>
      <c r="F8">
        <f t="shared" si="0"/>
        <v>62360615</v>
      </c>
      <c r="G8">
        <f>day_count_data!U8</f>
        <v>23455712</v>
      </c>
      <c r="H8">
        <f>day_count_data!V8</f>
        <v>24027483</v>
      </c>
      <c r="I8">
        <f>day_count_data!W8</f>
        <v>24277997</v>
      </c>
      <c r="J8">
        <f>day_count_data!X8</f>
        <v>24607632</v>
      </c>
      <c r="K8">
        <f t="shared" si="1"/>
        <v>96368824</v>
      </c>
      <c r="L8">
        <f>day_count_data!Y8</f>
        <v>24507851</v>
      </c>
      <c r="M8">
        <f>day_count_data!Z8</f>
        <v>23661022</v>
      </c>
      <c r="N8">
        <f>day_count_data!AA8</f>
        <v>22163274</v>
      </c>
      <c r="O8">
        <f>day_count_data!AB8</f>
        <v>20145963</v>
      </c>
      <c r="P8">
        <f t="shared" si="2"/>
        <v>90478110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day_count_data</vt:lpstr>
      <vt:lpstr>day_count_report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Dale Linn</cp:lastModifiedBy>
  <dcterms:created xsi:type="dcterms:W3CDTF">2023-10-19T22:59:50Z</dcterms:created>
  <dcterms:modified xsi:type="dcterms:W3CDTF">2023-10-19T23:33:56Z</dcterms:modified>
</cp:coreProperties>
</file>